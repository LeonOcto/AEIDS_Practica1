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\7mo semestre\Arquitectura e ingenieria de software\AEIDS_Practica1\"/>
    </mc:Choice>
  </mc:AlternateContent>
  <xr:revisionPtr revIDLastSave="0" documentId="13_ncr:1_{63710E34-7703-42D4-BDC7-416EDD19E369}" xr6:coauthVersionLast="47" xr6:coauthVersionMax="47" xr10:uidLastSave="{00000000-0000-0000-0000-000000000000}"/>
  <bookViews>
    <workbookView xWindow="-120" yWindow="-120" windowWidth="29040" windowHeight="16440" activeTab="4" xr2:uid="{C3E76B47-A8AF-4E44-B1F0-ECE6DF6EAF9E}"/>
  </bookViews>
  <sheets>
    <sheet name="Costos Indirectos" sheetId="1" r:id="rId1"/>
    <sheet name="Hw&amp;SW" sheetId="2" r:id="rId2"/>
    <sheet name="Sueldos" sheetId="3" r:id="rId3"/>
    <sheet name="Otros" sheetId="5" r:id="rId4"/>
    <sheet name="TotalProyecto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3" l="1"/>
  <c r="E10" i="5"/>
  <c r="C7" i="4" s="1"/>
  <c r="E5" i="5"/>
  <c r="E4" i="5"/>
  <c r="E13" i="3" l="1"/>
  <c r="F13" i="3" s="1"/>
  <c r="E12" i="3"/>
  <c r="F12" i="3" s="1"/>
  <c r="E11" i="3"/>
  <c r="F11" i="3" s="1"/>
  <c r="E10" i="3"/>
  <c r="F10" i="3" s="1"/>
  <c r="E9" i="3"/>
  <c r="F9" i="3" s="1"/>
  <c r="E8" i="3"/>
  <c r="F8" i="3" s="1"/>
  <c r="E7" i="3"/>
  <c r="F7" i="3" s="1"/>
  <c r="E6" i="3"/>
  <c r="F6" i="3" s="1"/>
  <c r="E5" i="3"/>
  <c r="F5" i="3" s="1"/>
  <c r="E4" i="3"/>
  <c r="F4" i="3" s="1"/>
  <c r="C8" i="2"/>
  <c r="C7" i="2"/>
  <c r="E8" i="2" s="1"/>
  <c r="D6" i="2"/>
  <c r="E6" i="2" s="1"/>
  <c r="E5" i="2"/>
  <c r="E4" i="2"/>
  <c r="E3" i="2"/>
  <c r="D10" i="1"/>
  <c r="E9" i="1"/>
  <c r="E8" i="1"/>
  <c r="E7" i="1"/>
  <c r="E6" i="1"/>
  <c r="E5" i="1"/>
  <c r="C19" i="1"/>
  <c r="D9" i="1"/>
  <c r="D8" i="1"/>
  <c r="D7" i="1"/>
  <c r="D6" i="1"/>
  <c r="D5" i="1"/>
  <c r="D4" i="1"/>
  <c r="E4" i="1" s="1"/>
  <c r="D19" i="1" l="1"/>
  <c r="E19" i="1" s="1"/>
  <c r="C4" i="4" s="1"/>
  <c r="E7" i="2"/>
  <c r="E16" i="2" s="1"/>
  <c r="C5" i="4" s="1"/>
  <c r="E18" i="3"/>
  <c r="F18" i="3"/>
  <c r="C6" i="4" s="1"/>
  <c r="E10" i="1"/>
  <c r="C8" i="4" l="1"/>
</calcChain>
</file>

<file path=xl/sharedStrings.xml><?xml version="1.0" encoding="utf-8"?>
<sst xmlns="http://schemas.openxmlformats.org/spreadsheetml/2006/main" count="62" uniqueCount="52">
  <si>
    <t>Descripción</t>
  </si>
  <si>
    <t>Anual</t>
  </si>
  <si>
    <t>Mensual</t>
  </si>
  <si>
    <t>Renta</t>
  </si>
  <si>
    <t>Luz</t>
  </si>
  <si>
    <t>Agua</t>
  </si>
  <si>
    <t>Limpieza</t>
  </si>
  <si>
    <t>Papelería</t>
  </si>
  <si>
    <t>Varios</t>
  </si>
  <si>
    <t>Caja</t>
  </si>
  <si>
    <t>Total</t>
  </si>
  <si>
    <t>Empleados</t>
  </si>
  <si>
    <t>Costo/empleado</t>
  </si>
  <si>
    <t>Costos</t>
  </si>
  <si>
    <t>Número</t>
  </si>
  <si>
    <t>Costo Unitario</t>
  </si>
  <si>
    <t>Costo por proyecto</t>
  </si>
  <si>
    <t>Número de meses de duración</t>
  </si>
  <si>
    <t>Laptop Pavilion HP</t>
  </si>
  <si>
    <t>Infraestructura</t>
  </si>
  <si>
    <t>Ofiice 365</t>
  </si>
  <si>
    <t>Visual Studio</t>
  </si>
  <si>
    <t>Amazon Cloud</t>
  </si>
  <si>
    <t>Empleados proyecto</t>
  </si>
  <si>
    <t>Totales</t>
  </si>
  <si>
    <t>Indirectos</t>
  </si>
  <si>
    <t>Descripciòn</t>
  </si>
  <si>
    <t>Total Proyecto</t>
  </si>
  <si>
    <t>Costo</t>
  </si>
  <si>
    <t>Sueldos</t>
  </si>
  <si>
    <t>Analista</t>
  </si>
  <si>
    <t>Diseñador</t>
  </si>
  <si>
    <t>Arquitecto SW</t>
  </si>
  <si>
    <t>Programador</t>
  </si>
  <si>
    <t>Tester</t>
  </si>
  <si>
    <t>Puesto</t>
  </si>
  <si>
    <t>Dirección Proyecto</t>
  </si>
  <si>
    <t>Scrum Master</t>
  </si>
  <si>
    <t>Implementador</t>
  </si>
  <si>
    <t>Change Management</t>
  </si>
  <si>
    <t>DBA</t>
  </si>
  <si>
    <t>Recursos Proyecto</t>
  </si>
  <si>
    <t>Total Mensual</t>
  </si>
  <si>
    <t>Tiempo a Utilizar</t>
  </si>
  <si>
    <t>Resumen Costos</t>
  </si>
  <si>
    <t>Otros Costos</t>
  </si>
  <si>
    <t>Nùmero</t>
  </si>
  <si>
    <t>Viaje 1</t>
  </si>
  <si>
    <t>Viaje 2</t>
  </si>
  <si>
    <t>Otros</t>
  </si>
  <si>
    <t>ApolloGraphQL</t>
  </si>
  <si>
    <t>Hosting Web en Render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</si>
</sst>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1">
    <xf numFmtId="0" fontId="0" fillId="0" borderId="0" xfId="0"/>
    <xf numFmtId="164" fontId="0" fillId="0" borderId="0" xfId="1" applyFont="1"/>
    <xf numFmtId="0" fontId="0" fillId="2" borderId="0" xfId="0" applyFill="1"/>
    <xf numFmtId="164" fontId="0" fillId="2" borderId="0" xfId="1" applyFont="1" applyFill="1"/>
    <xf numFmtId="0" fontId="0" fillId="0" borderId="1" xfId="0" applyBorder="1"/>
    <xf numFmtId="164" fontId="0" fillId="0" borderId="1" xfId="1" applyFont="1" applyBorder="1"/>
    <xf numFmtId="0" fontId="0" fillId="2" borderId="1" xfId="0" applyFill="1" applyBorder="1"/>
    <xf numFmtId="0" fontId="0" fillId="3" borderId="1" xfId="0" applyFill="1" applyBorder="1"/>
    <xf numFmtId="164" fontId="0" fillId="3" borderId="1" xfId="1" applyFont="1" applyFill="1" applyBorder="1"/>
    <xf numFmtId="0" fontId="0" fillId="0" borderId="0" xfId="0" applyAlignment="1">
      <alignment wrapText="1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164" fontId="0" fillId="4" borderId="1" xfId="1" applyFont="1" applyFill="1" applyBorder="1"/>
    <xf numFmtId="0" fontId="0" fillId="0" borderId="1" xfId="0" applyBorder="1" applyAlignment="1">
      <alignment wrapText="1"/>
    </xf>
    <xf numFmtId="164" fontId="0" fillId="0" borderId="1" xfId="0" applyNumberFormat="1" applyBorder="1"/>
    <xf numFmtId="1" fontId="0" fillId="0" borderId="1" xfId="0" applyNumberFormat="1" applyBorder="1"/>
    <xf numFmtId="0" fontId="0" fillId="0" borderId="0" xfId="0" applyAlignment="1">
      <alignment horizontal="center"/>
    </xf>
    <xf numFmtId="0" fontId="0" fillId="4" borderId="0" xfId="0" applyFill="1" applyAlignment="1">
      <alignment horizontal="center" wrapText="1"/>
    </xf>
    <xf numFmtId="0" fontId="0" fillId="4" borderId="2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0" xfId="0" applyFill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ED5F-1E09-4B35-9E73-6B0C8A1754FA}">
  <dimension ref="B1:I19"/>
  <sheetViews>
    <sheetView zoomScale="190" zoomScaleNormal="190" workbookViewId="0">
      <selection activeCell="C6" sqref="C6"/>
    </sheetView>
  </sheetViews>
  <sheetFormatPr baseColWidth="10" defaultRowHeight="15" x14ac:dyDescent="0.25"/>
  <cols>
    <col min="3" max="3" width="12.5703125" style="1" bestFit="1" customWidth="1"/>
    <col min="4" max="4" width="11.5703125" style="1" bestFit="1" customWidth="1"/>
    <col min="5" max="5" width="17.42578125" style="1" bestFit="1" customWidth="1"/>
  </cols>
  <sheetData>
    <row r="1" spans="2:9" x14ac:dyDescent="0.25">
      <c r="B1" s="16" t="s">
        <v>13</v>
      </c>
      <c r="C1" s="16"/>
      <c r="D1" s="16"/>
      <c r="E1" s="16"/>
    </row>
    <row r="2" spans="2:9" x14ac:dyDescent="0.25">
      <c r="B2" s="2" t="s">
        <v>0</v>
      </c>
      <c r="C2" s="3" t="s">
        <v>1</v>
      </c>
      <c r="D2" s="3" t="s">
        <v>2</v>
      </c>
      <c r="E2" s="3" t="s">
        <v>12</v>
      </c>
      <c r="H2" s="6" t="s">
        <v>11</v>
      </c>
      <c r="I2" s="4">
        <v>10</v>
      </c>
    </row>
    <row r="3" spans="2:9" x14ac:dyDescent="0.25">
      <c r="B3" s="7"/>
      <c r="C3" s="8"/>
      <c r="D3" s="8"/>
      <c r="E3" s="8"/>
    </row>
    <row r="4" spans="2:9" x14ac:dyDescent="0.25">
      <c r="B4" s="7" t="s">
        <v>3</v>
      </c>
      <c r="C4" s="8">
        <v>250000</v>
      </c>
      <c r="D4" s="8">
        <f t="shared" ref="D4:D10" si="0">+C4/12</f>
        <v>20833.333333333332</v>
      </c>
      <c r="E4" s="8">
        <f>+D4/$I$2</f>
        <v>2083.333333333333</v>
      </c>
    </row>
    <row r="5" spans="2:9" x14ac:dyDescent="0.25">
      <c r="B5" s="7" t="s">
        <v>4</v>
      </c>
      <c r="C5" s="8">
        <v>36000</v>
      </c>
      <c r="D5" s="8">
        <f t="shared" si="0"/>
        <v>3000</v>
      </c>
      <c r="E5" s="8">
        <f t="shared" ref="E5:E19" si="1">+D5/$I$2</f>
        <v>300</v>
      </c>
    </row>
    <row r="6" spans="2:9" x14ac:dyDescent="0.25">
      <c r="B6" s="7" t="s">
        <v>5</v>
      </c>
      <c r="C6" s="8">
        <v>12000</v>
      </c>
      <c r="D6" s="8">
        <f t="shared" si="0"/>
        <v>1000</v>
      </c>
      <c r="E6" s="8">
        <f t="shared" si="1"/>
        <v>100</v>
      </c>
    </row>
    <row r="7" spans="2:9" x14ac:dyDescent="0.25">
      <c r="B7" s="7" t="s">
        <v>6</v>
      </c>
      <c r="C7" s="8">
        <v>55000</v>
      </c>
      <c r="D7" s="8">
        <f t="shared" si="0"/>
        <v>4583.333333333333</v>
      </c>
      <c r="E7" s="8">
        <f t="shared" si="1"/>
        <v>458.33333333333331</v>
      </c>
    </row>
    <row r="8" spans="2:9" x14ac:dyDescent="0.25">
      <c r="B8" s="7" t="s">
        <v>7</v>
      </c>
      <c r="C8" s="8">
        <v>18000</v>
      </c>
      <c r="D8" s="8">
        <f t="shared" si="0"/>
        <v>1500</v>
      </c>
      <c r="E8" s="8">
        <f t="shared" si="1"/>
        <v>150</v>
      </c>
    </row>
    <row r="9" spans="2:9" x14ac:dyDescent="0.25">
      <c r="B9" s="7" t="s">
        <v>8</v>
      </c>
      <c r="C9" s="8">
        <v>24000</v>
      </c>
      <c r="D9" s="8">
        <f t="shared" si="0"/>
        <v>2000</v>
      </c>
      <c r="E9" s="8">
        <f t="shared" si="1"/>
        <v>200</v>
      </c>
    </row>
    <row r="10" spans="2:9" x14ac:dyDescent="0.25">
      <c r="B10" s="7" t="s">
        <v>9</v>
      </c>
      <c r="C10" s="8">
        <v>12000</v>
      </c>
      <c r="D10" s="8">
        <f t="shared" si="0"/>
        <v>1000</v>
      </c>
      <c r="E10" s="8">
        <f t="shared" si="1"/>
        <v>100</v>
      </c>
    </row>
    <row r="11" spans="2:9" x14ac:dyDescent="0.25">
      <c r="B11" s="7"/>
      <c r="C11" s="8"/>
      <c r="D11" s="8"/>
      <c r="E11" s="8"/>
    </row>
    <row r="12" spans="2:9" x14ac:dyDescent="0.25">
      <c r="B12" s="7"/>
      <c r="C12" s="8"/>
      <c r="D12" s="8"/>
      <c r="E12" s="8"/>
    </row>
    <row r="13" spans="2:9" x14ac:dyDescent="0.25">
      <c r="B13" s="7"/>
      <c r="C13" s="8"/>
      <c r="D13" s="8"/>
      <c r="E13" s="8"/>
    </row>
    <row r="14" spans="2:9" x14ac:dyDescent="0.25">
      <c r="B14" s="7"/>
      <c r="C14" s="8"/>
      <c r="D14" s="8"/>
      <c r="E14" s="8"/>
    </row>
    <row r="15" spans="2:9" x14ac:dyDescent="0.25">
      <c r="B15" s="7"/>
      <c r="C15" s="8"/>
      <c r="D15" s="8"/>
      <c r="E15" s="8"/>
    </row>
    <row r="16" spans="2:9" x14ac:dyDescent="0.25">
      <c r="B16" s="7"/>
      <c r="C16" s="8"/>
      <c r="D16" s="8"/>
      <c r="E16" s="8"/>
    </row>
    <row r="17" spans="2:5" x14ac:dyDescent="0.25">
      <c r="B17" s="7"/>
      <c r="C17" s="8"/>
      <c r="D17" s="8"/>
      <c r="E17" s="8"/>
    </row>
    <row r="18" spans="2:5" x14ac:dyDescent="0.25">
      <c r="B18" s="7"/>
      <c r="C18" s="8"/>
      <c r="D18" s="8"/>
      <c r="E18" s="8"/>
    </row>
    <row r="19" spans="2:5" x14ac:dyDescent="0.25">
      <c r="B19" s="7" t="s">
        <v>10</v>
      </c>
      <c r="C19" s="8">
        <f>SUM(C4:C18)</f>
        <v>407000</v>
      </c>
      <c r="D19" s="8">
        <f>SUM(D4:D18)</f>
        <v>33916.666666666664</v>
      </c>
      <c r="E19" s="8">
        <f t="shared" si="1"/>
        <v>3391.6666666666665</v>
      </c>
    </row>
  </sheetData>
  <mergeCells count="1"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A43E1-16F1-437A-B606-38318B70C1D0}">
  <dimension ref="B1:J16"/>
  <sheetViews>
    <sheetView zoomScale="190" zoomScaleNormal="190" workbookViewId="0">
      <selection activeCell="C3" sqref="C3"/>
    </sheetView>
  </sheetViews>
  <sheetFormatPr baseColWidth="10" defaultRowHeight="15" x14ac:dyDescent="0.25"/>
  <cols>
    <col min="2" max="2" width="44.5703125" style="9" customWidth="1"/>
    <col min="4" max="4" width="20.85546875" style="1" customWidth="1"/>
    <col min="5" max="5" width="17.85546875" style="1" bestFit="1" customWidth="1"/>
    <col min="9" max="9" width="28.42578125" bestFit="1" customWidth="1"/>
  </cols>
  <sheetData>
    <row r="1" spans="2:10" x14ac:dyDescent="0.25">
      <c r="B1" s="17" t="s">
        <v>19</v>
      </c>
      <c r="C1" s="17"/>
      <c r="D1" s="17"/>
      <c r="E1" s="17"/>
    </row>
    <row r="2" spans="2:10" x14ac:dyDescent="0.25">
      <c r="B2" s="11" t="s">
        <v>0</v>
      </c>
      <c r="C2" s="10" t="s">
        <v>14</v>
      </c>
      <c r="D2" s="12" t="s">
        <v>15</v>
      </c>
      <c r="E2" s="12" t="s">
        <v>16</v>
      </c>
      <c r="I2" s="10" t="s">
        <v>17</v>
      </c>
      <c r="J2" s="4">
        <v>12</v>
      </c>
    </row>
    <row r="3" spans="2:10" x14ac:dyDescent="0.25">
      <c r="B3" s="13" t="s">
        <v>18</v>
      </c>
      <c r="C3" s="4">
        <v>10</v>
      </c>
      <c r="D3" s="5">
        <v>18000</v>
      </c>
      <c r="E3" s="5">
        <f>+D3/$J$2</f>
        <v>1500</v>
      </c>
      <c r="I3" s="10" t="s">
        <v>23</v>
      </c>
      <c r="J3" s="4">
        <v>10</v>
      </c>
    </row>
    <row r="4" spans="2:10" x14ac:dyDescent="0.25">
      <c r="B4" s="13" t="s">
        <v>51</v>
      </c>
      <c r="C4" s="4">
        <v>1</v>
      </c>
      <c r="D4" s="5">
        <v>25</v>
      </c>
      <c r="E4" s="5">
        <f>+D4/$J$2</f>
        <v>2.0833333333333335</v>
      </c>
    </row>
    <row r="5" spans="2:10" x14ac:dyDescent="0.25">
      <c r="B5" s="13" t="s">
        <v>50</v>
      </c>
      <c r="C5" s="4">
        <v>1</v>
      </c>
      <c r="D5" s="5">
        <v>10</v>
      </c>
      <c r="E5" s="5">
        <f>+D5/$J$2</f>
        <v>0.83333333333333337</v>
      </c>
    </row>
    <row r="6" spans="2:10" x14ac:dyDescent="0.25">
      <c r="B6" s="13" t="s">
        <v>22</v>
      </c>
      <c r="C6" s="4">
        <v>1</v>
      </c>
      <c r="D6" s="5">
        <f>500*20</f>
        <v>10000</v>
      </c>
      <c r="E6" s="5">
        <f>+D6*$J$2</f>
        <v>120000</v>
      </c>
    </row>
    <row r="7" spans="2:10" x14ac:dyDescent="0.25">
      <c r="B7" s="13" t="s">
        <v>20</v>
      </c>
      <c r="C7" s="4">
        <f>+$J$3</f>
        <v>10</v>
      </c>
      <c r="D7" s="5">
        <v>980</v>
      </c>
      <c r="E7" s="5">
        <f>+D7*$C$7/$J$2</f>
        <v>816.66666666666663</v>
      </c>
    </row>
    <row r="8" spans="2:10" x14ac:dyDescent="0.25">
      <c r="B8" s="13" t="s">
        <v>21</v>
      </c>
      <c r="C8" s="4">
        <f>+$J$3</f>
        <v>10</v>
      </c>
      <c r="D8" s="5">
        <v>1199</v>
      </c>
      <c r="E8" s="5">
        <f>+D8*$C$7/$J$2</f>
        <v>999.16666666666663</v>
      </c>
    </row>
    <row r="9" spans="2:10" x14ac:dyDescent="0.25">
      <c r="B9" s="13"/>
      <c r="C9" s="4"/>
      <c r="D9" s="5"/>
      <c r="E9" s="5"/>
    </row>
    <row r="10" spans="2:10" x14ac:dyDescent="0.25">
      <c r="B10" s="13"/>
      <c r="C10" s="4"/>
      <c r="D10" s="5"/>
      <c r="E10" s="5"/>
    </row>
    <row r="11" spans="2:10" x14ac:dyDescent="0.25">
      <c r="B11" s="13"/>
      <c r="C11" s="4"/>
      <c r="D11" s="5"/>
      <c r="E11" s="5"/>
    </row>
    <row r="12" spans="2:10" x14ac:dyDescent="0.25">
      <c r="B12" s="13"/>
      <c r="C12" s="4"/>
      <c r="D12" s="5"/>
      <c r="E12" s="5"/>
    </row>
    <row r="13" spans="2:10" x14ac:dyDescent="0.25">
      <c r="B13" s="13"/>
      <c r="C13" s="4"/>
      <c r="D13" s="5"/>
      <c r="E13" s="5"/>
    </row>
    <row r="14" spans="2:10" x14ac:dyDescent="0.25">
      <c r="B14" s="13"/>
      <c r="C14" s="4"/>
      <c r="D14" s="5"/>
      <c r="E14" s="5"/>
    </row>
    <row r="15" spans="2:10" x14ac:dyDescent="0.25">
      <c r="B15" s="13"/>
      <c r="C15" s="4"/>
      <c r="D15" s="5"/>
      <c r="E15" s="5"/>
    </row>
    <row r="16" spans="2:10" x14ac:dyDescent="0.25">
      <c r="B16" s="13" t="s">
        <v>24</v>
      </c>
      <c r="C16" s="4"/>
      <c r="D16" s="5"/>
      <c r="E16" s="5">
        <f>SUM(E3:E15)</f>
        <v>123318.75000000001</v>
      </c>
    </row>
  </sheetData>
  <mergeCells count="1">
    <mergeCell ref="B1:E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C90B2-DE76-49B8-82FC-1DA457D90CB6}">
  <dimension ref="B2:G18"/>
  <sheetViews>
    <sheetView zoomScale="190" zoomScaleNormal="190" workbookViewId="0">
      <selection activeCell="G14" sqref="G14"/>
    </sheetView>
  </sheetViews>
  <sheetFormatPr baseColWidth="10" defaultRowHeight="15" x14ac:dyDescent="0.25"/>
  <cols>
    <col min="2" max="2" width="19.85546875" bestFit="1" customWidth="1"/>
    <col min="3" max="3" width="13.140625" style="1" customWidth="1"/>
    <col min="4" max="4" width="17.28515625" bestFit="1" customWidth="1"/>
    <col min="5" max="5" width="13.42578125" bestFit="1" customWidth="1"/>
    <col min="6" max="6" width="14.140625" bestFit="1" customWidth="1"/>
    <col min="7" max="7" width="15.85546875" bestFit="1" customWidth="1"/>
  </cols>
  <sheetData>
    <row r="2" spans="2:7" x14ac:dyDescent="0.25">
      <c r="B2" s="18" t="s">
        <v>29</v>
      </c>
      <c r="C2" s="19"/>
      <c r="D2" s="19"/>
      <c r="E2" s="19"/>
      <c r="F2" s="19"/>
      <c r="G2" s="19"/>
    </row>
    <row r="3" spans="2:7" x14ac:dyDescent="0.25">
      <c r="B3" s="10" t="s">
        <v>35</v>
      </c>
      <c r="C3" s="12" t="s">
        <v>2</v>
      </c>
      <c r="D3" s="10" t="s">
        <v>41</v>
      </c>
      <c r="E3" s="10" t="s">
        <v>42</v>
      </c>
      <c r="F3" s="10" t="s">
        <v>27</v>
      </c>
      <c r="G3" s="10" t="s">
        <v>43</v>
      </c>
    </row>
    <row r="4" spans="2:7" x14ac:dyDescent="0.25">
      <c r="B4" s="4" t="s">
        <v>30</v>
      </c>
      <c r="C4" s="5">
        <v>25000</v>
      </c>
      <c r="D4" s="4">
        <v>1</v>
      </c>
      <c r="E4" s="14">
        <f>+D4*C4</f>
        <v>25000</v>
      </c>
      <c r="F4" s="14">
        <f>+E4*G4</f>
        <v>125000</v>
      </c>
      <c r="G4" s="15">
        <v>5</v>
      </c>
    </row>
    <row r="5" spans="2:7" x14ac:dyDescent="0.25">
      <c r="B5" s="4" t="s">
        <v>31</v>
      </c>
      <c r="C5" s="5">
        <v>30000</v>
      </c>
      <c r="D5" s="4">
        <v>1</v>
      </c>
      <c r="E5" s="14">
        <f t="shared" ref="E5:E13" si="0">+D5*C5</f>
        <v>30000</v>
      </c>
      <c r="F5" s="14">
        <f t="shared" ref="F5:F13" si="1">+E5*G5</f>
        <v>60000</v>
      </c>
      <c r="G5" s="15">
        <v>2</v>
      </c>
    </row>
    <row r="6" spans="2:7" x14ac:dyDescent="0.25">
      <c r="B6" s="4" t="s">
        <v>32</v>
      </c>
      <c r="C6" s="5">
        <v>35000</v>
      </c>
      <c r="D6" s="4">
        <v>1</v>
      </c>
      <c r="E6" s="14">
        <f t="shared" si="0"/>
        <v>35000</v>
      </c>
      <c r="F6" s="14">
        <f t="shared" si="1"/>
        <v>140000</v>
      </c>
      <c r="G6" s="15">
        <v>4</v>
      </c>
    </row>
    <row r="7" spans="2:7" x14ac:dyDescent="0.25">
      <c r="B7" s="4" t="s">
        <v>33</v>
      </c>
      <c r="C7" s="5">
        <v>40000</v>
      </c>
      <c r="D7" s="4">
        <v>2</v>
      </c>
      <c r="E7" s="14">
        <f t="shared" si="0"/>
        <v>80000</v>
      </c>
      <c r="F7" s="14">
        <f t="shared" si="1"/>
        <v>400000</v>
      </c>
      <c r="G7" s="15">
        <v>5</v>
      </c>
    </row>
    <row r="8" spans="2:7" x14ac:dyDescent="0.25">
      <c r="B8" s="4" t="s">
        <v>34</v>
      </c>
      <c r="C8" s="5">
        <v>20000</v>
      </c>
      <c r="D8" s="4">
        <v>2</v>
      </c>
      <c r="E8" s="14">
        <f t="shared" si="0"/>
        <v>40000</v>
      </c>
      <c r="F8" s="14">
        <f t="shared" si="1"/>
        <v>200000</v>
      </c>
      <c r="G8" s="15">
        <v>5</v>
      </c>
    </row>
    <row r="9" spans="2:7" x14ac:dyDescent="0.25">
      <c r="B9" s="4" t="s">
        <v>36</v>
      </c>
      <c r="C9" s="5">
        <v>33000</v>
      </c>
      <c r="D9" s="4">
        <v>0</v>
      </c>
      <c r="E9" s="14">
        <f t="shared" si="0"/>
        <v>0</v>
      </c>
      <c r="F9" s="14">
        <f t="shared" si="1"/>
        <v>0</v>
      </c>
      <c r="G9" s="15">
        <v>0</v>
      </c>
    </row>
    <row r="10" spans="2:7" x14ac:dyDescent="0.25">
      <c r="B10" s="4" t="s">
        <v>37</v>
      </c>
      <c r="C10" s="5">
        <v>32000</v>
      </c>
      <c r="D10" s="4">
        <v>0</v>
      </c>
      <c r="E10" s="14">
        <f t="shared" si="0"/>
        <v>0</v>
      </c>
      <c r="F10" s="14">
        <f t="shared" si="1"/>
        <v>0</v>
      </c>
      <c r="G10" s="15">
        <v>0</v>
      </c>
    </row>
    <row r="11" spans="2:7" x14ac:dyDescent="0.25">
      <c r="B11" s="4" t="s">
        <v>38</v>
      </c>
      <c r="C11" s="5">
        <v>15000</v>
      </c>
      <c r="D11" s="4">
        <v>1</v>
      </c>
      <c r="E11" s="14">
        <f t="shared" si="0"/>
        <v>15000</v>
      </c>
      <c r="F11" s="14">
        <f t="shared" si="1"/>
        <v>60000</v>
      </c>
      <c r="G11" s="15">
        <v>4</v>
      </c>
    </row>
    <row r="12" spans="2:7" x14ac:dyDescent="0.25">
      <c r="B12" s="4" t="s">
        <v>39</v>
      </c>
      <c r="C12" s="5">
        <v>20000</v>
      </c>
      <c r="D12" s="4">
        <v>1</v>
      </c>
      <c r="E12" s="14">
        <f t="shared" si="0"/>
        <v>20000</v>
      </c>
      <c r="F12" s="14">
        <f t="shared" si="1"/>
        <v>80000</v>
      </c>
      <c r="G12" s="15">
        <v>4</v>
      </c>
    </row>
    <row r="13" spans="2:7" x14ac:dyDescent="0.25">
      <c r="B13" s="4" t="s">
        <v>40</v>
      </c>
      <c r="C13" s="5">
        <v>30000</v>
      </c>
      <c r="D13" s="4">
        <v>1</v>
      </c>
      <c r="E13" s="14">
        <f t="shared" si="0"/>
        <v>30000</v>
      </c>
      <c r="F13" s="14">
        <f t="shared" si="1"/>
        <v>120000</v>
      </c>
      <c r="G13" s="15">
        <v>4</v>
      </c>
    </row>
    <row r="14" spans="2:7" x14ac:dyDescent="0.25">
      <c r="B14" s="4"/>
      <c r="C14" s="5"/>
      <c r="D14" s="4"/>
      <c r="E14" s="4"/>
      <c r="F14" s="4"/>
      <c r="G14" s="15"/>
    </row>
    <row r="15" spans="2:7" x14ac:dyDescent="0.25">
      <c r="B15" s="4"/>
      <c r="C15" s="5"/>
      <c r="D15" s="4"/>
      <c r="E15" s="4"/>
      <c r="F15" s="4"/>
      <c r="G15" s="15"/>
    </row>
    <row r="16" spans="2:7" x14ac:dyDescent="0.25">
      <c r="B16" s="4"/>
      <c r="C16" s="5"/>
      <c r="D16" s="4"/>
      <c r="E16" s="4"/>
      <c r="F16" s="4"/>
      <c r="G16" s="15"/>
    </row>
    <row r="17" spans="2:7" x14ac:dyDescent="0.25">
      <c r="B17" s="4"/>
      <c r="C17" s="5"/>
      <c r="D17" s="4"/>
      <c r="E17" s="4"/>
      <c r="F17" s="4"/>
      <c r="G17" s="15"/>
    </row>
    <row r="18" spans="2:7" x14ac:dyDescent="0.25">
      <c r="B18" s="4" t="s">
        <v>24</v>
      </c>
      <c r="C18" s="5"/>
      <c r="D18" s="4">
        <f>SUM(D4:D13)</f>
        <v>10</v>
      </c>
      <c r="E18" s="14">
        <f>SUM(E4:E17)</f>
        <v>275000</v>
      </c>
      <c r="F18" s="14">
        <f>SUM(F4:F17)</f>
        <v>1185000</v>
      </c>
      <c r="G18" s="14"/>
    </row>
  </sheetData>
  <mergeCells count="1">
    <mergeCell ref="B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AE9D0-3A9D-402F-AA71-73ABA43DB2A5}">
  <dimension ref="B2:E10"/>
  <sheetViews>
    <sheetView zoomScale="190" zoomScaleNormal="190" workbookViewId="0">
      <selection activeCell="C4" sqref="C4"/>
    </sheetView>
  </sheetViews>
  <sheetFormatPr baseColWidth="10" defaultRowHeight="15" x14ac:dyDescent="0.25"/>
  <cols>
    <col min="4" max="5" width="11.42578125" style="1"/>
  </cols>
  <sheetData>
    <row r="2" spans="2:5" x14ac:dyDescent="0.25">
      <c r="B2" s="16" t="s">
        <v>45</v>
      </c>
      <c r="C2" s="16"/>
      <c r="D2" s="16"/>
      <c r="E2" s="16"/>
    </row>
    <row r="3" spans="2:5" x14ac:dyDescent="0.25">
      <c r="B3" s="10" t="s">
        <v>0</v>
      </c>
      <c r="C3" s="10" t="s">
        <v>46</v>
      </c>
      <c r="D3" s="12" t="s">
        <v>28</v>
      </c>
      <c r="E3" s="12" t="s">
        <v>10</v>
      </c>
    </row>
    <row r="4" spans="2:5" x14ac:dyDescent="0.25">
      <c r="B4" s="4" t="s">
        <v>47</v>
      </c>
      <c r="C4" s="4">
        <v>0</v>
      </c>
      <c r="D4" s="5">
        <v>1200</v>
      </c>
      <c r="E4" s="5">
        <f>+D4*C4</f>
        <v>0</v>
      </c>
    </row>
    <row r="5" spans="2:5" x14ac:dyDescent="0.25">
      <c r="B5" s="4" t="s">
        <v>48</v>
      </c>
      <c r="C5" s="4">
        <v>0</v>
      </c>
      <c r="D5" s="5">
        <v>1200</v>
      </c>
      <c r="E5" s="5">
        <f>+D5*C5</f>
        <v>0</v>
      </c>
    </row>
    <row r="6" spans="2:5" x14ac:dyDescent="0.25">
      <c r="B6" s="4"/>
      <c r="C6" s="4"/>
      <c r="D6" s="5"/>
      <c r="E6" s="5"/>
    </row>
    <row r="7" spans="2:5" x14ac:dyDescent="0.25">
      <c r="B7" s="4"/>
      <c r="C7" s="4"/>
      <c r="D7" s="5"/>
      <c r="E7" s="5"/>
    </row>
    <row r="8" spans="2:5" x14ac:dyDescent="0.25">
      <c r="B8" s="4"/>
      <c r="C8" s="4"/>
      <c r="D8" s="5"/>
      <c r="E8" s="5"/>
    </row>
    <row r="9" spans="2:5" x14ac:dyDescent="0.25">
      <c r="B9" s="4"/>
      <c r="C9" s="4"/>
      <c r="D9" s="5"/>
      <c r="E9" s="5"/>
    </row>
    <row r="10" spans="2:5" x14ac:dyDescent="0.25">
      <c r="B10" s="4" t="s">
        <v>24</v>
      </c>
      <c r="C10" s="4"/>
      <c r="D10" s="5"/>
      <c r="E10" s="5">
        <f>SUM(E4:E9)</f>
        <v>0</v>
      </c>
    </row>
  </sheetData>
  <mergeCells count="1">
    <mergeCell ref="B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B7CA8-17CB-45B8-9111-EE345086BF05}">
  <dimension ref="B2:C8"/>
  <sheetViews>
    <sheetView tabSelected="1" zoomScale="205" zoomScaleNormal="205" workbookViewId="0">
      <selection activeCell="C8" sqref="C8"/>
    </sheetView>
  </sheetViews>
  <sheetFormatPr baseColWidth="10" defaultRowHeight="15" x14ac:dyDescent="0.25"/>
  <cols>
    <col min="2" max="2" width="15.5703125" bestFit="1" customWidth="1"/>
    <col min="3" max="3" width="19.85546875" style="1" customWidth="1"/>
  </cols>
  <sheetData>
    <row r="2" spans="2:3" x14ac:dyDescent="0.25">
      <c r="B2" s="20" t="s">
        <v>44</v>
      </c>
      <c r="C2" s="20"/>
    </row>
    <row r="3" spans="2:3" x14ac:dyDescent="0.25">
      <c r="B3" s="10" t="s">
        <v>26</v>
      </c>
      <c r="C3" s="12" t="s">
        <v>28</v>
      </c>
    </row>
    <row r="4" spans="2:3" x14ac:dyDescent="0.25">
      <c r="B4" s="4" t="s">
        <v>25</v>
      </c>
      <c r="C4" s="5">
        <f>+'Costos Indirectos'!E19*'Hw&amp;SW'!J3*'Hw&amp;SW'!J2</f>
        <v>407000</v>
      </c>
    </row>
    <row r="5" spans="2:3" x14ac:dyDescent="0.25">
      <c r="B5" s="4" t="s">
        <v>19</v>
      </c>
      <c r="C5" s="5">
        <f>+'Hw&amp;SW'!E16</f>
        <v>123318.75000000001</v>
      </c>
    </row>
    <row r="6" spans="2:3" x14ac:dyDescent="0.25">
      <c r="B6" s="4" t="s">
        <v>29</v>
      </c>
      <c r="C6" s="5">
        <f>+Sueldos!F18</f>
        <v>1185000</v>
      </c>
    </row>
    <row r="7" spans="2:3" x14ac:dyDescent="0.25">
      <c r="B7" s="4" t="s">
        <v>49</v>
      </c>
      <c r="C7" s="5">
        <f>+Otros!E10</f>
        <v>0</v>
      </c>
    </row>
    <row r="8" spans="2:3" x14ac:dyDescent="0.25">
      <c r="B8" s="4" t="s">
        <v>27</v>
      </c>
      <c r="C8" s="5">
        <f>SUM(C4:C6)</f>
        <v>1715318.75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Costos Indirectos</vt:lpstr>
      <vt:lpstr>Hw&amp;SW</vt:lpstr>
      <vt:lpstr>Sueldos</vt:lpstr>
      <vt:lpstr>Otros</vt:lpstr>
      <vt:lpstr>TotalProyecto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Jsilva</dc:creator>
  <cp:lastModifiedBy>Vertiz De Blas Mario</cp:lastModifiedBy>
  <dcterms:created xsi:type="dcterms:W3CDTF">2019-08-18T21:32:48Z</dcterms:created>
  <dcterms:modified xsi:type="dcterms:W3CDTF">2026-09-04T06:27:15Z</dcterms:modified>
</cp:coreProperties>
</file>